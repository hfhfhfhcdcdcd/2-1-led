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<sst xmlns="http://schemas.openxmlformats.org/spreadsheetml/2006/main" count="43" uniqueCount="43">
  <si>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音符</t>
  </si>
  <si>
    <t>频率（Hz）</t>
  </si>
  <si>
    <t>周期</t>
  </si>
  <si>
    <t>一半的
周期时
反转=2
倍的频率</t>
  </si>
  <si>
    <t>取整</t>
  </si>
  <si>
    <t>重装载值</t>
  </si>
  <si>
    <t>MusicSelect</t>
  </si>
  <si>
    <t>低音1</t>
  </si>
  <si>
    <t>低音1#</t>
  </si>
  <si>
    <t>低音2</t>
  </si>
  <si>
    <t>低音2#</t>
  </si>
  <si>
    <t>低音3</t>
  </si>
  <si>
    <t>低音4</t>
  </si>
  <si>
    <t>低音4#</t>
  </si>
  <si>
    <t>低音5</t>
  </si>
  <si>
    <t>低音5#</t>
  </si>
  <si>
    <t>低音6</t>
  </si>
  <si>
    <t>低音6#</t>
  </si>
  <si>
    <t>低音7</t>
  </si>
  <si>
    <t>中音1</t>
  </si>
  <si>
    <t>中音1#</t>
  </si>
  <si>
    <t>中音2</t>
  </si>
  <si>
    <t>中音2#</t>
  </si>
  <si>
    <t>中音3</t>
  </si>
  <si>
    <t>中音4</t>
  </si>
  <si>
    <t>中音4#</t>
  </si>
  <si>
    <t>中音5</t>
  </si>
  <si>
    <t>中音5#</t>
  </si>
  <si>
    <t>中音6</t>
  </si>
  <si>
    <t>中音6#</t>
  </si>
  <si>
    <t>中音7</t>
  </si>
  <si>
    <t>高音1</t>
  </si>
  <si>
    <t>高音1#</t>
  </si>
  <si>
    <t>高音2</t>
  </si>
  <si>
    <t>高音2#</t>
  </si>
  <si>
    <t>高音3</t>
  </si>
  <si>
    <t>高音4</t>
  </si>
  <si>
    <t>高音4#</t>
  </si>
  <si>
    <t>高音5</t>
  </si>
  <si>
    <t>高音5#</t>
  </si>
  <si>
    <t>高音6</t>
  </si>
  <si>
    <t>高音6#</t>
  </si>
  <si>
    <t>高音7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</si>
</sst>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zoomScale="145" zoomScaleNormal="145" workbookViewId="0">
      <selection activeCell="F3" sqref="F3"/>
    </sheetView>
  </sheetViews>
  <sheetFormatPr defaultColWidth="9" defaultRowHeight="13.8" outlineLevelCol="6"/>
  <cols>
    <col min="2" max="2" width="11.6666666666667" customWidth="1"/>
    <col min="3" max="3" width="12.6666666666667" customWidth="1"/>
    <col min="4" max="4" width="10.1111111111111" customWidth="1"/>
    <col min="5" max="6" width="9.11111111111111" customWidth="1"/>
    <col min="7" max="7" width="6.66666666666667" customWidth="1"/>
    <col min="8" max="8" width="8.88888888888889" customWidth="1"/>
  </cols>
  <sheetData>
    <row r="1" ht="79.2" customHeight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ht="19.8" customHeight="1" spans="1:7">
      <c r="A2" s="2">
        <v>0</v>
      </c>
      <c r="B2" s="2"/>
      <c r="C2" s="2"/>
      <c r="D2" s="3"/>
      <c r="E2" s="2"/>
      <c r="F2" s="2"/>
      <c r="G2" s="2">
        <v>0</v>
      </c>
    </row>
    <row r="3" s="1" customFormat="1" spans="1:7">
      <c r="A3" s="4" t="s">
        <v>7</v>
      </c>
      <c r="B3" s="4">
        <v>262</v>
      </c>
      <c r="C3" s="4">
        <f>1000000/B3</f>
        <v>3816.79389312977</v>
      </c>
      <c r="D3" s="4">
        <f>C3/2</f>
        <v>1908.39694656489</v>
      </c>
      <c r="E3" s="4">
        <f>ROUND(D3,0)</f>
        <v>1908</v>
      </c>
      <c r="F3" s="4">
        <f>65535-E3</f>
        <v>63627</v>
      </c>
      <c r="G3" s="4">
        <v>1</v>
      </c>
    </row>
    <row r="4" spans="1:7">
      <c r="A4" s="2" t="s">
        <v>8</v>
      </c>
      <c r="B4" s="2">
        <v>277</v>
      </c>
      <c r="C4" s="2">
        <f t="shared" ref="C4:C38" si="0">1000000/B4</f>
        <v>3610.1083032491</v>
      </c>
      <c r="D4" s="2">
        <f t="shared" ref="D4:D38" si="1">C4/2</f>
        <v>1805.05415162455</v>
      </c>
      <c r="E4" s="2">
        <f t="shared" ref="E4:E38" si="2">ROUND(D4,0)</f>
        <v>1805</v>
      </c>
      <c r="F4" s="2">
        <f t="shared" ref="F4:F38" si="3">65535-E4</f>
        <v>63730</v>
      </c>
      <c r="G4" s="2">
        <v>2</v>
      </c>
    </row>
    <row r="5" s="1" customFormat="1" spans="1:7">
      <c r="A5" s="4" t="s">
        <v>9</v>
      </c>
      <c r="B5" s="4">
        <v>294</v>
      </c>
      <c r="C5" s="4">
        <f t="shared" si="0"/>
        <v>3401.36054421769</v>
      </c>
      <c r="D5" s="4">
        <f t="shared" si="1"/>
        <v>1700.68027210884</v>
      </c>
      <c r="E5" s="4">
        <f t="shared" si="2"/>
        <v>1701</v>
      </c>
      <c r="F5" s="4">
        <f t="shared" si="3"/>
        <v>63834</v>
      </c>
      <c r="G5" s="4">
        <v>3</v>
      </c>
    </row>
    <row r="6" spans="1:7">
      <c r="A6" s="2" t="s">
        <v>10</v>
      </c>
      <c r="B6" s="2">
        <v>311</v>
      </c>
      <c r="C6" s="2">
        <f t="shared" si="0"/>
        <v>3215.43408360129</v>
      </c>
      <c r="D6" s="2">
        <f t="shared" si="1"/>
        <v>1607.71704180064</v>
      </c>
      <c r="E6" s="2">
        <f t="shared" si="2"/>
        <v>1608</v>
      </c>
      <c r="F6" s="2">
        <f t="shared" si="3"/>
        <v>63927</v>
      </c>
      <c r="G6" s="2">
        <v>4</v>
      </c>
    </row>
    <row r="7" s="1" customFormat="1" spans="1:7">
      <c r="A7" s="4" t="s">
        <v>11</v>
      </c>
      <c r="B7" s="4">
        <v>330</v>
      </c>
      <c r="C7" s="4">
        <f t="shared" si="0"/>
        <v>3030.30303030303</v>
      </c>
      <c r="D7" s="4">
        <f t="shared" si="1"/>
        <v>1515.15151515152</v>
      </c>
      <c r="E7" s="4">
        <f t="shared" si="2"/>
        <v>1515</v>
      </c>
      <c r="F7" s="4">
        <f t="shared" si="3"/>
        <v>64020</v>
      </c>
      <c r="G7" s="4">
        <v>5</v>
      </c>
    </row>
    <row r="8" s="1" customFormat="1" spans="1:7">
      <c r="A8" s="4" t="s">
        <v>12</v>
      </c>
      <c r="B8" s="4">
        <v>349</v>
      </c>
      <c r="C8" s="4">
        <f t="shared" si="0"/>
        <v>2865.32951289398</v>
      </c>
      <c r="D8" s="4">
        <f t="shared" si="1"/>
        <v>1432.66475644699</v>
      </c>
      <c r="E8" s="4">
        <f t="shared" si="2"/>
        <v>1433</v>
      </c>
      <c r="F8" s="4">
        <f t="shared" si="3"/>
        <v>64102</v>
      </c>
      <c r="G8" s="4">
        <v>6</v>
      </c>
    </row>
    <row r="9" spans="1:7">
      <c r="A9" s="2" t="s">
        <v>13</v>
      </c>
      <c r="B9" s="2">
        <v>370</v>
      </c>
      <c r="C9" s="2">
        <f t="shared" si="0"/>
        <v>2702.7027027027</v>
      </c>
      <c r="D9" s="2">
        <f t="shared" si="1"/>
        <v>1351.35135135135</v>
      </c>
      <c r="E9" s="2">
        <f t="shared" si="2"/>
        <v>1351</v>
      </c>
      <c r="F9" s="2">
        <f t="shared" si="3"/>
        <v>64184</v>
      </c>
      <c r="G9" s="2">
        <v>7</v>
      </c>
    </row>
    <row r="10" s="1" customFormat="1" spans="1:7">
      <c r="A10" s="4" t="s">
        <v>14</v>
      </c>
      <c r="B10" s="4">
        <v>392</v>
      </c>
      <c r="C10" s="4">
        <f t="shared" si="0"/>
        <v>2551.02040816327</v>
      </c>
      <c r="D10" s="4">
        <f t="shared" si="1"/>
        <v>1275.51020408163</v>
      </c>
      <c r="E10" s="4">
        <f t="shared" si="2"/>
        <v>1276</v>
      </c>
      <c r="F10" s="4">
        <f t="shared" si="3"/>
        <v>64259</v>
      </c>
      <c r="G10" s="4">
        <v>8</v>
      </c>
    </row>
    <row r="11" spans="1:7">
      <c r="A11" s="2" t="s">
        <v>15</v>
      </c>
      <c r="B11" s="2">
        <v>415</v>
      </c>
      <c r="C11" s="2">
        <f t="shared" si="0"/>
        <v>2409.63855421687</v>
      </c>
      <c r="D11" s="2">
        <f t="shared" si="1"/>
        <v>1204.81927710843</v>
      </c>
      <c r="E11" s="2">
        <f t="shared" si="2"/>
        <v>1205</v>
      </c>
      <c r="F11" s="2">
        <f t="shared" si="3"/>
        <v>64330</v>
      </c>
      <c r="G11" s="2">
        <v>9</v>
      </c>
    </row>
    <row r="12" s="1" customFormat="1" spans="1:7">
      <c r="A12" s="4" t="s">
        <v>16</v>
      </c>
      <c r="B12" s="4">
        <v>440</v>
      </c>
      <c r="C12" s="4">
        <f t="shared" si="0"/>
        <v>2272.72727272727</v>
      </c>
      <c r="D12" s="4">
        <f t="shared" si="1"/>
        <v>1136.36363636364</v>
      </c>
      <c r="E12" s="4">
        <f t="shared" si="2"/>
        <v>1136</v>
      </c>
      <c r="F12" s="4">
        <f t="shared" si="3"/>
        <v>64399</v>
      </c>
      <c r="G12" s="4">
        <v>10</v>
      </c>
    </row>
    <row r="13" spans="1:7">
      <c r="A13" s="2" t="s">
        <v>17</v>
      </c>
      <c r="B13" s="2">
        <v>466</v>
      </c>
      <c r="C13" s="2">
        <f t="shared" si="0"/>
        <v>2145.92274678112</v>
      </c>
      <c r="D13" s="2">
        <f t="shared" si="1"/>
        <v>1072.96137339056</v>
      </c>
      <c r="E13" s="2">
        <f t="shared" si="2"/>
        <v>1073</v>
      </c>
      <c r="F13" s="2">
        <f t="shared" si="3"/>
        <v>64462</v>
      </c>
      <c r="G13" s="2">
        <v>11</v>
      </c>
    </row>
    <row r="14" s="1" customFormat="1" spans="1:7">
      <c r="A14" s="4" t="s">
        <v>18</v>
      </c>
      <c r="B14" s="4">
        <v>494</v>
      </c>
      <c r="C14" s="4">
        <f t="shared" si="0"/>
        <v>2024.29149797571</v>
      </c>
      <c r="D14" s="4">
        <f t="shared" si="1"/>
        <v>1012.14574898785</v>
      </c>
      <c r="E14" s="4">
        <f t="shared" si="2"/>
        <v>1012</v>
      </c>
      <c r="F14" s="4">
        <f t="shared" si="3"/>
        <v>64523</v>
      </c>
      <c r="G14" s="4">
        <v>12</v>
      </c>
    </row>
    <row r="15" spans="1:7">
      <c r="A15" s="2" t="s">
        <v>19</v>
      </c>
      <c r="B15" s="2">
        <v>523</v>
      </c>
      <c r="C15" s="2">
        <f t="shared" si="0"/>
        <v>1912.04588910134</v>
      </c>
      <c r="D15" s="2">
        <f t="shared" si="1"/>
        <v>956.022944550669</v>
      </c>
      <c r="E15" s="2">
        <f t="shared" si="2"/>
        <v>956</v>
      </c>
      <c r="F15" s="2">
        <f t="shared" si="3"/>
        <v>64579</v>
      </c>
      <c r="G15" s="2">
        <v>13</v>
      </c>
    </row>
    <row r="16" spans="1:7">
      <c r="A16" s="2" t="s">
        <v>20</v>
      </c>
      <c r="B16" s="2">
        <v>554</v>
      </c>
      <c r="C16" s="2">
        <f t="shared" si="0"/>
        <v>1805.05415162455</v>
      </c>
      <c r="D16" s="2">
        <f t="shared" si="1"/>
        <v>902.527075812274</v>
      </c>
      <c r="E16" s="2">
        <f t="shared" si="2"/>
        <v>903</v>
      </c>
      <c r="F16" s="2">
        <f t="shared" si="3"/>
        <v>64632</v>
      </c>
      <c r="G16" s="2">
        <v>14</v>
      </c>
    </row>
    <row r="17" s="1" customFormat="1" spans="1:7">
      <c r="A17" s="4" t="s">
        <v>21</v>
      </c>
      <c r="B17" s="4">
        <v>587</v>
      </c>
      <c r="C17" s="4">
        <f t="shared" si="0"/>
        <v>1703.57751277683</v>
      </c>
      <c r="D17" s="4">
        <f t="shared" si="1"/>
        <v>851.788756388416</v>
      </c>
      <c r="E17" s="4">
        <f t="shared" si="2"/>
        <v>852</v>
      </c>
      <c r="F17" s="4">
        <f t="shared" si="3"/>
        <v>64683</v>
      </c>
      <c r="G17" s="4">
        <v>15</v>
      </c>
    </row>
    <row r="18" spans="1:7">
      <c r="A18" s="2" t="s">
        <v>22</v>
      </c>
      <c r="B18" s="2">
        <v>622</v>
      </c>
      <c r="C18" s="2">
        <f t="shared" si="0"/>
        <v>1607.71704180064</v>
      </c>
      <c r="D18" s="2">
        <f t="shared" si="1"/>
        <v>803.858520900322</v>
      </c>
      <c r="E18" s="2">
        <f t="shared" si="2"/>
        <v>804</v>
      </c>
      <c r="F18" s="2">
        <f t="shared" si="3"/>
        <v>64731</v>
      </c>
      <c r="G18" s="2">
        <v>16</v>
      </c>
    </row>
    <row r="19" s="1" customFormat="1" spans="1:7">
      <c r="A19" s="4" t="s">
        <v>23</v>
      </c>
      <c r="B19" s="4">
        <v>659</v>
      </c>
      <c r="C19" s="4">
        <f t="shared" si="0"/>
        <v>1517.45068285281</v>
      </c>
      <c r="D19" s="4">
        <f t="shared" si="1"/>
        <v>758.725341426404</v>
      </c>
      <c r="E19" s="4">
        <f t="shared" si="2"/>
        <v>759</v>
      </c>
      <c r="F19" s="4">
        <f t="shared" si="3"/>
        <v>64776</v>
      </c>
      <c r="G19" s="4">
        <v>17</v>
      </c>
    </row>
    <row r="20" spans="1:7">
      <c r="A20" s="2" t="s">
        <v>24</v>
      </c>
      <c r="B20" s="2">
        <v>698</v>
      </c>
      <c r="C20" s="2">
        <f t="shared" si="0"/>
        <v>1432.66475644699</v>
      </c>
      <c r="D20" s="2">
        <f t="shared" si="1"/>
        <v>716.332378223496</v>
      </c>
      <c r="E20" s="2">
        <f t="shared" si="2"/>
        <v>716</v>
      </c>
      <c r="F20" s="2">
        <f t="shared" si="3"/>
        <v>64819</v>
      </c>
      <c r="G20" s="2">
        <v>18</v>
      </c>
    </row>
    <row r="21" spans="1:7">
      <c r="A21" s="2" t="s">
        <v>25</v>
      </c>
      <c r="B21" s="2">
        <v>740</v>
      </c>
      <c r="C21" s="2">
        <f t="shared" si="0"/>
        <v>1351.35135135135</v>
      </c>
      <c r="D21" s="2">
        <f t="shared" si="1"/>
        <v>675.675675675676</v>
      </c>
      <c r="E21" s="2">
        <f t="shared" si="2"/>
        <v>676</v>
      </c>
      <c r="F21" s="2">
        <f t="shared" si="3"/>
        <v>64859</v>
      </c>
      <c r="G21" s="2">
        <v>19</v>
      </c>
    </row>
    <row r="22" spans="1:7">
      <c r="A22" s="2" t="s">
        <v>26</v>
      </c>
      <c r="B22" s="2">
        <v>784</v>
      </c>
      <c r="C22" s="2">
        <f t="shared" si="0"/>
        <v>1275.51020408163</v>
      </c>
      <c r="D22" s="2">
        <f t="shared" si="1"/>
        <v>637.755102040816</v>
      </c>
      <c r="E22" s="2">
        <f t="shared" si="2"/>
        <v>638</v>
      </c>
      <c r="F22" s="2">
        <f t="shared" si="3"/>
        <v>64897</v>
      </c>
      <c r="G22" s="2">
        <v>20</v>
      </c>
    </row>
    <row r="23" spans="1:7">
      <c r="A23" s="2" t="s">
        <v>27</v>
      </c>
      <c r="B23" s="2">
        <v>831</v>
      </c>
      <c r="C23" s="2">
        <f t="shared" si="0"/>
        <v>1203.36943441637</v>
      </c>
      <c r="D23" s="2">
        <f t="shared" si="1"/>
        <v>601.684717208183</v>
      </c>
      <c r="E23" s="2">
        <f t="shared" si="2"/>
        <v>602</v>
      </c>
      <c r="F23" s="2">
        <f t="shared" si="3"/>
        <v>64933</v>
      </c>
      <c r="G23" s="2">
        <v>21</v>
      </c>
    </row>
    <row r="24" spans="1:7">
      <c r="A24" s="2" t="s">
        <v>28</v>
      </c>
      <c r="B24" s="2">
        <v>880</v>
      </c>
      <c r="C24" s="2">
        <f t="shared" si="0"/>
        <v>1136.36363636364</v>
      </c>
      <c r="D24" s="2">
        <f t="shared" si="1"/>
        <v>568.181818181818</v>
      </c>
      <c r="E24" s="2">
        <f t="shared" si="2"/>
        <v>568</v>
      </c>
      <c r="F24" s="2">
        <f t="shared" si="3"/>
        <v>64967</v>
      </c>
      <c r="G24" s="2">
        <v>22</v>
      </c>
    </row>
    <row r="25" spans="1:7">
      <c r="A25" s="2" t="s">
        <v>29</v>
      </c>
      <c r="B25" s="2">
        <v>932</v>
      </c>
      <c r="C25" s="2">
        <f t="shared" si="0"/>
        <v>1072.96137339056</v>
      </c>
      <c r="D25" s="2">
        <f t="shared" si="1"/>
        <v>536.480686695279</v>
      </c>
      <c r="E25" s="2">
        <f t="shared" si="2"/>
        <v>536</v>
      </c>
      <c r="F25" s="2">
        <f t="shared" si="3"/>
        <v>64999</v>
      </c>
      <c r="G25" s="2">
        <v>23</v>
      </c>
    </row>
    <row r="26" spans="1:7">
      <c r="A26" s="2" t="s">
        <v>30</v>
      </c>
      <c r="B26" s="2">
        <v>988</v>
      </c>
      <c r="C26" s="2">
        <f t="shared" si="0"/>
        <v>1012.14574898785</v>
      </c>
      <c r="D26" s="2">
        <f t="shared" si="1"/>
        <v>506.072874493927</v>
      </c>
      <c r="E26" s="2">
        <f t="shared" si="2"/>
        <v>506</v>
      </c>
      <c r="F26" s="2">
        <f t="shared" si="3"/>
        <v>65029</v>
      </c>
      <c r="G26" s="2">
        <v>24</v>
      </c>
    </row>
    <row r="27" spans="1:7">
      <c r="A27" s="2" t="s">
        <v>31</v>
      </c>
      <c r="B27" s="2">
        <v>1046</v>
      </c>
      <c r="C27" s="2">
        <f t="shared" si="0"/>
        <v>956.022944550669</v>
      </c>
      <c r="D27" s="2">
        <f t="shared" si="1"/>
        <v>478.011472275335</v>
      </c>
      <c r="E27" s="2">
        <f t="shared" si="2"/>
        <v>478</v>
      </c>
      <c r="F27" s="2">
        <f t="shared" si="3"/>
        <v>65057</v>
      </c>
      <c r="G27" s="2">
        <v>25</v>
      </c>
    </row>
    <row r="28" spans="1:7">
      <c r="A28" s="2" t="s">
        <v>32</v>
      </c>
      <c r="B28" s="2">
        <v>1109</v>
      </c>
      <c r="C28" s="2">
        <f t="shared" si="0"/>
        <v>901.713255184851</v>
      </c>
      <c r="D28" s="2">
        <f t="shared" si="1"/>
        <v>450.856627592426</v>
      </c>
      <c r="E28" s="2">
        <f t="shared" si="2"/>
        <v>451</v>
      </c>
      <c r="F28" s="2">
        <f t="shared" si="3"/>
        <v>65084</v>
      </c>
      <c r="G28" s="2">
        <v>26</v>
      </c>
    </row>
    <row r="29" spans="1:7">
      <c r="A29" s="2" t="s">
        <v>33</v>
      </c>
      <c r="B29" s="2">
        <v>1175</v>
      </c>
      <c r="C29" s="2">
        <f t="shared" si="0"/>
        <v>851.063829787234</v>
      </c>
      <c r="D29" s="2">
        <f t="shared" si="1"/>
        <v>425.531914893617</v>
      </c>
      <c r="E29" s="2">
        <f t="shared" si="2"/>
        <v>426</v>
      </c>
      <c r="F29" s="2">
        <f t="shared" si="3"/>
        <v>65109</v>
      </c>
      <c r="G29" s="2">
        <v>27</v>
      </c>
    </row>
    <row r="30" spans="1:7">
      <c r="A30" s="2" t="s">
        <v>34</v>
      </c>
      <c r="B30" s="2">
        <v>1245</v>
      </c>
      <c r="C30" s="2">
        <f t="shared" si="0"/>
        <v>803.212851405622</v>
      </c>
      <c r="D30" s="2">
        <f t="shared" si="1"/>
        <v>401.606425702811</v>
      </c>
      <c r="E30" s="2">
        <f t="shared" si="2"/>
        <v>402</v>
      </c>
      <c r="F30" s="2">
        <f t="shared" si="3"/>
        <v>65133</v>
      </c>
      <c r="G30" s="2">
        <v>28</v>
      </c>
    </row>
    <row r="31" spans="1:7">
      <c r="A31" s="2" t="s">
        <v>35</v>
      </c>
      <c r="B31" s="2">
        <v>1318</v>
      </c>
      <c r="C31" s="2">
        <f t="shared" si="0"/>
        <v>758.725341426404</v>
      </c>
      <c r="D31" s="2">
        <f t="shared" si="1"/>
        <v>379.362670713202</v>
      </c>
      <c r="E31" s="2">
        <f t="shared" si="2"/>
        <v>379</v>
      </c>
      <c r="F31" s="2">
        <f t="shared" si="3"/>
        <v>65156</v>
      </c>
      <c r="G31" s="2">
        <v>29</v>
      </c>
    </row>
    <row r="32" spans="1:7">
      <c r="A32" s="2" t="s">
        <v>36</v>
      </c>
      <c r="B32" s="2">
        <v>1397</v>
      </c>
      <c r="C32" s="2">
        <f t="shared" si="0"/>
        <v>715.819613457409</v>
      </c>
      <c r="D32" s="2">
        <f t="shared" si="1"/>
        <v>357.909806728704</v>
      </c>
      <c r="E32" s="2">
        <f t="shared" si="2"/>
        <v>358</v>
      </c>
      <c r="F32" s="2">
        <f t="shared" si="3"/>
        <v>65177</v>
      </c>
      <c r="G32" s="2">
        <v>30</v>
      </c>
    </row>
    <row r="33" spans="1:7">
      <c r="A33" s="2" t="s">
        <v>37</v>
      </c>
      <c r="B33" s="2">
        <v>1480</v>
      </c>
      <c r="C33" s="2">
        <f t="shared" si="0"/>
        <v>675.675675675676</v>
      </c>
      <c r="D33" s="2">
        <f t="shared" si="1"/>
        <v>337.837837837838</v>
      </c>
      <c r="E33" s="2">
        <f t="shared" si="2"/>
        <v>338</v>
      </c>
      <c r="F33" s="2">
        <f t="shared" si="3"/>
        <v>65197</v>
      </c>
      <c r="G33" s="2">
        <v>31</v>
      </c>
    </row>
    <row r="34" spans="1:7">
      <c r="A34" s="2" t="s">
        <v>38</v>
      </c>
      <c r="B34" s="2">
        <v>1568</v>
      </c>
      <c r="C34" s="2">
        <f t="shared" si="0"/>
        <v>637.755102040816</v>
      </c>
      <c r="D34" s="2">
        <f t="shared" si="1"/>
        <v>318.877551020408</v>
      </c>
      <c r="E34" s="2">
        <f t="shared" si="2"/>
        <v>319</v>
      </c>
      <c r="F34" s="2">
        <f t="shared" si="3"/>
        <v>65216</v>
      </c>
      <c r="G34" s="2">
        <v>32</v>
      </c>
    </row>
    <row r="35" spans="1:7">
      <c r="A35" s="2" t="s">
        <v>39</v>
      </c>
      <c r="B35" s="2">
        <v>1661</v>
      </c>
      <c r="C35" s="2">
        <f t="shared" si="0"/>
        <v>602.046959662854</v>
      </c>
      <c r="D35" s="2">
        <f t="shared" si="1"/>
        <v>301.023479831427</v>
      </c>
      <c r="E35" s="2">
        <f t="shared" si="2"/>
        <v>301</v>
      </c>
      <c r="F35" s="2">
        <f t="shared" si="3"/>
        <v>65234</v>
      </c>
      <c r="G35" s="2">
        <v>33</v>
      </c>
    </row>
    <row r="36" spans="1:7">
      <c r="A36" s="2" t="s">
        <v>40</v>
      </c>
      <c r="B36" s="2">
        <v>1760</v>
      </c>
      <c r="C36" s="2">
        <f t="shared" si="0"/>
        <v>568.181818181818</v>
      </c>
      <c r="D36" s="2">
        <f t="shared" si="1"/>
        <v>284.090909090909</v>
      </c>
      <c r="E36" s="2">
        <f t="shared" si="2"/>
        <v>284</v>
      </c>
      <c r="F36" s="2">
        <f t="shared" si="3"/>
        <v>65251</v>
      </c>
      <c r="G36" s="2">
        <v>34</v>
      </c>
    </row>
    <row r="37" spans="1:7">
      <c r="A37" s="2" t="s">
        <v>41</v>
      </c>
      <c r="B37" s="2">
        <v>1865</v>
      </c>
      <c r="C37" s="2">
        <f t="shared" si="0"/>
        <v>536.193029490617</v>
      </c>
      <c r="D37" s="2">
        <f t="shared" si="1"/>
        <v>268.096514745308</v>
      </c>
      <c r="E37" s="2">
        <f t="shared" si="2"/>
        <v>268</v>
      </c>
      <c r="F37" s="2">
        <f t="shared" si="3"/>
        <v>65267</v>
      </c>
      <c r="G37" s="2">
        <v>35</v>
      </c>
    </row>
    <row r="38" spans="1:7">
      <c r="A38" s="2" t="s">
        <v>42</v>
      </c>
      <c r="B38" s="2">
        <v>1976</v>
      </c>
      <c r="C38" s="2">
        <f t="shared" si="0"/>
        <v>506.072874493927</v>
      </c>
      <c r="D38" s="2">
        <f t="shared" si="1"/>
        <v>253.036437246964</v>
      </c>
      <c r="E38" s="2">
        <f t="shared" si="2"/>
        <v>253</v>
      </c>
      <c r="F38" s="2">
        <f t="shared" si="3"/>
        <v>65282</v>
      </c>
      <c r="G38" s="2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</dc:creator>
  <cp:lastModifiedBy>段艺凡</cp:lastModifiedBy>
  <dcterms:created xsi:type="dcterms:W3CDTF">2026-05-16T10:45:00Z</dcterms:created>
  <dcterms:modified xsi:type="dcterms:W3CDTF">2026-05-17T09:11:17Z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76E0C636778244FEBE8DF06A834FC2F3_12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